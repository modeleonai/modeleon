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Periods</t>
        </is>
      </c>
      <c r="B1" s="1" t="n">
        <v>12</v>
      </c>
    </row>
    <row r="2">
      <c r="A2" s="1" t="inlineStr">
        <is>
          <t>Start Date</t>
        </is>
      </c>
      <c r="B2" s="2" t="n">
        <v>45658</v>
      </c>
    </row>
    <row r="3">
      <c r="A3" s="1" t="inlineStr">
        <is>
          <t>Starting Revenue ($)</t>
        </is>
      </c>
      <c r="B3" s="1" t="n">
        <v>1000000</v>
      </c>
    </row>
    <row r="4">
      <c r="A4" s="1" t="inlineStr">
        <is>
          <t>Monthly Growth %</t>
        </is>
      </c>
      <c r="B4" s="1" t="n">
        <v>0.05</v>
      </c>
      <c r="C4" s="1" t="n">
        <v>0.05</v>
      </c>
      <c r="D4" s="1" t="n">
        <v>0.05</v>
      </c>
      <c r="E4" s="1" t="n">
        <v>0.05</v>
      </c>
      <c r="F4" s="1" t="n">
        <v>0.05</v>
      </c>
      <c r="G4" s="1" t="n">
        <v>0.05</v>
      </c>
      <c r="H4" s="1" t="n">
        <v>0.05</v>
      </c>
      <c r="I4" s="1" t="n">
        <v>0.05</v>
      </c>
      <c r="J4" s="1" t="n">
        <v>0.05</v>
      </c>
      <c r="K4" s="1" t="n">
        <v>0.05</v>
      </c>
      <c r="L4" s="1" t="n">
        <v>0.05</v>
      </c>
      <c r="M4" s="1" t="n">
        <v>0.05</v>
      </c>
    </row>
    <row r="5">
      <c r="A5" s="1" t="inlineStr">
        <is>
          <t>COGS %</t>
        </is>
      </c>
      <c r="B5" s="1" t="n">
        <v>0.6</v>
      </c>
    </row>
    <row r="6">
      <c r="A6" s="1" t="inlineStr">
        <is>
          <t>Tax Rate</t>
        </is>
      </c>
      <c r="B6" s="1" t="n">
        <v>0.25</v>
      </c>
    </row>
    <row r="7">
      <c r="A7" s="1" t="inlineStr">
        <is>
          <t>Horizon End</t>
        </is>
      </c>
      <c r="B7" s="2">
        <f>EOMONTH(B2, B1 - 1)</f>
        <v>46022</v>
      </c>
    </row>
  </sheetData>
  <pageMargins left="0.75" right="0.75" top="1" bottom="1" header="0.5" footer="0.5"/>
  <ignoredErrors>
    <ignoredError sqref="B7" formula="1" formulaRange="1"/>
  </ignoredError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Month</t>
        </is>
      </c>
      <c r="B1" s="2">
        <f>Assumptions!B2</f>
        <v>45658</v>
      </c>
      <c r="C1" s="2">
        <f>EDATE(B1, 1)</f>
        <v>45689</v>
      </c>
      <c r="D1" s="2">
        <f>EDATE(C1, 1)</f>
        <v>45717</v>
      </c>
      <c r="E1" s="2">
        <f>EDATE(D1, 1)</f>
        <v>45748</v>
      </c>
      <c r="F1" s="2">
        <f>EDATE(E1, 1)</f>
        <v>45778</v>
      </c>
      <c r="G1" s="2">
        <f>EDATE(F1, 1)</f>
        <v>45809</v>
      </c>
      <c r="H1" s="2">
        <f>EDATE(G1, 1)</f>
        <v>45839</v>
      </c>
      <c r="I1" s="2">
        <f>EDATE(H1, 1)</f>
        <v>45870</v>
      </c>
      <c r="J1" s="2">
        <f>EDATE(I1, 1)</f>
        <v>45901</v>
      </c>
      <c r="K1" s="2">
        <f>EDATE(J1, 1)</f>
        <v>45931</v>
      </c>
      <c r="L1" s="2">
        <f>EDATE(K1, 1)</f>
        <v>45962</v>
      </c>
      <c r="M1" s="2">
        <f>EDATE(L1, 1)</f>
        <v>45992</v>
      </c>
    </row>
    <row r="2">
      <c r="A2" s="1" t="inlineStr">
        <is>
          <t>Revenue ($)</t>
        </is>
      </c>
      <c r="B2" s="1">
        <f>Assumptions!B3</f>
        <v>1000000</v>
      </c>
      <c r="C2" s="1">
        <f>B2 * (1 + Assumptions!C4)</f>
        <v>1050000</v>
      </c>
      <c r="D2" s="1">
        <f>C2 * (1 + Assumptions!D4)</f>
        <v>1102500</v>
      </c>
      <c r="E2" s="1">
        <f>D2 * (1 + Assumptions!E4)</f>
        <v>1157625</v>
      </c>
      <c r="F2" s="1">
        <f>E2 * (1 + Assumptions!F4)</f>
        <v>1215506.25</v>
      </c>
      <c r="G2" s="1">
        <f>F2 * (1 + Assumptions!G4)</f>
        <v>1276281.5625</v>
      </c>
      <c r="H2" s="1">
        <f>G2 * (1 + Assumptions!H4)</f>
        <v>1340095.640625</v>
      </c>
      <c r="I2" s="1">
        <f>H2 * (1 + Assumptions!I4)</f>
        <v>1407100.42265625</v>
      </c>
      <c r="J2" s="1">
        <f>I2 * (1 + Assumptions!J4)</f>
        <v>1477455.44378906</v>
      </c>
      <c r="K2" s="1">
        <f>J2 * (1 + Assumptions!K4)</f>
        <v>1551328.21597852</v>
      </c>
      <c r="L2" s="1">
        <f>K2 * (1 + Assumptions!L4)</f>
        <v>1628894.62677744</v>
      </c>
      <c r="M2" s="1">
        <f>L2 * (1 + Assumptions!M4)</f>
        <v>1710339.35811631</v>
      </c>
    </row>
    <row r="3">
      <c r="A3" s="1" t="inlineStr">
        <is>
          <t>COGS ($)</t>
        </is>
      </c>
      <c r="B3" s="1">
        <f>B2 * Assumptions!B5</f>
        <v>600000</v>
      </c>
      <c r="C3" s="1">
        <f>C2 * Assumptions!B5</f>
        <v>630000</v>
      </c>
      <c r="D3" s="1">
        <f>D2 * Assumptions!B5</f>
        <v>661500</v>
      </c>
      <c r="E3" s="1">
        <f>E2 * Assumptions!B5</f>
        <v>694575</v>
      </c>
      <c r="F3" s="1">
        <f>F2 * Assumptions!B5</f>
        <v>729303.75</v>
      </c>
      <c r="G3" s="1">
        <f>G2 * Assumptions!B5</f>
        <v>765768.9375</v>
      </c>
      <c r="H3" s="1">
        <f>H2 * Assumptions!B5</f>
        <v>804057.384375</v>
      </c>
      <c r="I3" s="1">
        <f>I2 * Assumptions!B5</f>
        <v>844260.25359375</v>
      </c>
      <c r="J3" s="1">
        <f>J2 * Assumptions!B5</f>
        <v>886473.266273438</v>
      </c>
      <c r="K3" s="1">
        <f>K2 * Assumptions!B5</f>
        <v>930796.929587109</v>
      </c>
      <c r="L3" s="1">
        <f>L2 * Assumptions!B5</f>
        <v>977336.776066465</v>
      </c>
      <c r="M3" s="1">
        <f>M2 * Assumptions!B5</f>
        <v>1026203.61486979</v>
      </c>
    </row>
    <row r="4">
      <c r="A4" s="1" t="inlineStr">
        <is>
          <t>Gross ($)</t>
        </is>
      </c>
      <c r="B4" s="1">
        <f>B2 - B3</f>
        <v>400000</v>
      </c>
      <c r="C4" s="1">
        <f>C2 - C3</f>
        <v>420000</v>
      </c>
      <c r="D4" s="1">
        <f>D2 - D3</f>
        <v>441000</v>
      </c>
      <c r="E4" s="1">
        <f>E2 - E3</f>
        <v>463050</v>
      </c>
      <c r="F4" s="1">
        <f>F2 - F3</f>
        <v>486202.5</v>
      </c>
      <c r="G4" s="1">
        <f>G2 - G3</f>
        <v>510512.625</v>
      </c>
      <c r="H4" s="1">
        <f>H2 - H3</f>
        <v>536038.25625</v>
      </c>
      <c r="I4" s="1">
        <f>I2 - I3</f>
        <v>562840.1690625</v>
      </c>
      <c r="J4" s="1">
        <f>J2 - J3</f>
        <v>590982.177515625</v>
      </c>
      <c r="K4" s="1">
        <f>K2 - K3</f>
        <v>620531.286391406</v>
      </c>
      <c r="L4" s="1">
        <f>L2 - L3</f>
        <v>651557.850710977</v>
      </c>
      <c r="M4" s="1">
        <f>M2 - M3</f>
        <v>684135.743246526</v>
      </c>
    </row>
    <row r="5">
      <c r="A5" s="1" t="inlineStr">
        <is>
          <t>Taxes ($)</t>
        </is>
      </c>
      <c r="B5" s="1">
        <f>B4 * Assumptions!B6</f>
        <v>100000</v>
      </c>
      <c r="C5" s="1">
        <f>C4 * Assumptions!B6</f>
        <v>105000</v>
      </c>
      <c r="D5" s="1">
        <f>D4 * Assumptions!B6</f>
        <v>110250</v>
      </c>
      <c r="E5" s="1">
        <f>E4 * Assumptions!B6</f>
        <v>115762.5</v>
      </c>
      <c r="F5" s="1">
        <f>F4 * Assumptions!B6</f>
        <v>121550.625</v>
      </c>
      <c r="G5" s="1">
        <f>G4 * Assumptions!B6</f>
        <v>127628.15625</v>
      </c>
      <c r="H5" s="1">
        <f>H4 * Assumptions!B6</f>
        <v>134009.5640625</v>
      </c>
      <c r="I5" s="1">
        <f>I4 * Assumptions!B6</f>
        <v>140710.042265625</v>
      </c>
      <c r="J5" s="1">
        <f>J4 * Assumptions!B6</f>
        <v>147745.544378906</v>
      </c>
      <c r="K5" s="1">
        <f>K4 * Assumptions!B6</f>
        <v>155132.821597852</v>
      </c>
      <c r="L5" s="1">
        <f>L4 * Assumptions!B6</f>
        <v>162889.462677744</v>
      </c>
      <c r="M5" s="1">
        <f>M4 * Assumptions!B6</f>
        <v>171033.935811631</v>
      </c>
    </row>
    <row r="6">
      <c r="A6" s="1" t="inlineStr">
        <is>
          <t>Net ($)</t>
        </is>
      </c>
      <c r="B6" s="1">
        <f>B4 - B5</f>
        <v>300000</v>
      </c>
      <c r="C6" s="1">
        <f>C4 - C5</f>
        <v>315000</v>
      </c>
      <c r="D6" s="1">
        <f>D4 - D5</f>
        <v>330750</v>
      </c>
      <c r="E6" s="1">
        <f>E4 - E5</f>
        <v>347287.5</v>
      </c>
      <c r="F6" s="1">
        <f>F4 - F5</f>
        <v>364651.875</v>
      </c>
      <c r="G6" s="1">
        <f>G4 - G5</f>
        <v>382884.46875</v>
      </c>
      <c r="H6" s="1">
        <f>H4 - H5</f>
        <v>402028.6921875</v>
      </c>
      <c r="I6" s="1">
        <f>I4 - I5</f>
        <v>422130.126796875</v>
      </c>
      <c r="J6" s="1">
        <f>J4 - J5</f>
        <v>443236.633136719</v>
      </c>
      <c r="K6" s="1">
        <f>K4 - K5</f>
        <v>465398.464793555</v>
      </c>
      <c r="L6" s="1">
        <f>L4 - L5</f>
        <v>488668.388033233</v>
      </c>
      <c r="M6" s="1">
        <f>M4 - M5</f>
        <v>513101.807434894</v>
      </c>
    </row>
  </sheetData>
  <pageMargins left="0.75" right="0.75" top="1" bottom="1" header="0.5" footer="0.5"/>
  <ignoredErrors>
    <ignoredError sqref="B1:M6" formula="1" formulaRange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2026-10-21T12:02:52Z</dcterms:created>
  <dcterms:modified xmlns:dcterms="http://purl.org/dc/terms/" xmlns:xsi="http://www.w3.org/2001/XMLSchema-instance" xsi:type="dcterms:W3CDTF">2026-10-21T12:02:52Z</dcterms:modified>
</cp:coreProperties>
</file>