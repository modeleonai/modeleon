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&amp;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t="inlineStr">
        <is>
          <t>Periods</t>
        </is>
      </c>
      <c r="B1" t="n">
        <v>12</v>
      </c>
    </row>
    <row r="2">
      <c r="A2" t="inlineStr">
        <is>
          <t>Start Date</t>
        </is>
      </c>
      <c r="B2" t="inlineStr">
        <is>
          <t>2025-01-01</t>
        </is>
      </c>
    </row>
    <row r="3">
      <c r="A3" t="inlineStr">
        <is>
          <t>Starting Revenue ($)</t>
        </is>
      </c>
      <c r="B3" t="n">
        <v>1000000</v>
      </c>
    </row>
    <row r="4">
      <c r="A4" t="inlineStr">
        <is>
          <t>Monthly Growth %</t>
        </is>
      </c>
      <c r="B4" t="n">
        <v>0.05</v>
      </c>
      <c r="C4" t="n">
        <v>0.05</v>
      </c>
      <c r="D4" t="n">
        <v>0.05</v>
      </c>
      <c r="E4" t="n">
        <v>0.05</v>
      </c>
      <c r="F4" t="n">
        <v>0.05</v>
      </c>
      <c r="G4" t="n">
        <v>0.05</v>
      </c>
      <c r="H4" t="n">
        <v>0.05</v>
      </c>
      <c r="I4" t="n">
        <v>0.05</v>
      </c>
      <c r="J4" t="n">
        <v>0.05</v>
      </c>
      <c r="K4" t="n">
        <v>0.05</v>
      </c>
      <c r="L4" t="n">
        <v>0.05</v>
      </c>
      <c r="M4" t="n">
        <v>0.05</v>
      </c>
    </row>
    <row r="5">
      <c r="A5" t="inlineStr">
        <is>
          <t>COGS %</t>
        </is>
      </c>
      <c r="B5" t="n">
        <v>0.6</v>
      </c>
    </row>
    <row r="6">
      <c r="A6" t="inlineStr">
        <is>
          <t>Tax Rate</t>
        </is>
      </c>
      <c r="B6" t="n">
        <v>0.25</v>
      </c>
    </row>
    <row r="7">
      <c r="A7" t="inlineStr">
        <is>
          <t>Horizon End</t>
        </is>
      </c>
      <c r="B7">
        <f>EOMONTH(B2, B1 - 1)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t="inlineStr">
        <is>
          <t>Month</t>
        </is>
      </c>
      <c r="B1">
        <f>Assumptions!B2</f>
        <v/>
      </c>
      <c r="C1">
        <f>EDATE(B1, 1)</f>
        <v/>
      </c>
      <c r="D1">
        <f>EDATE(C1, 1)</f>
        <v/>
      </c>
      <c r="E1">
        <f>EDATE(D1, 1)</f>
        <v/>
      </c>
      <c r="F1">
        <f>EDATE(E1, 1)</f>
        <v/>
      </c>
      <c r="G1">
        <f>EDATE(F1, 1)</f>
        <v/>
      </c>
      <c r="H1">
        <f>EDATE(G1, 1)</f>
        <v/>
      </c>
      <c r="I1">
        <f>EDATE(H1, 1)</f>
        <v/>
      </c>
      <c r="J1">
        <f>EDATE(I1, 1)</f>
        <v/>
      </c>
      <c r="K1">
        <f>EDATE(J1, 1)</f>
        <v/>
      </c>
      <c r="L1">
        <f>EDATE(K1, 1)</f>
        <v/>
      </c>
      <c r="M1">
        <f>EDATE(L1, 1)</f>
        <v/>
      </c>
    </row>
    <row r="2">
      <c r="A2" t="inlineStr">
        <is>
          <t>Revenue</t>
        </is>
      </c>
      <c r="B2">
        <f>Assumptions!B3</f>
        <v/>
      </c>
      <c r="C2">
        <f>B2 * (1 + Assumptions!C4)</f>
        <v/>
      </c>
      <c r="D2">
        <f>C2 * (1 + Assumptions!D4)</f>
        <v/>
      </c>
      <c r="E2">
        <f>D2 * (1 + Assumptions!E4)</f>
        <v/>
      </c>
      <c r="F2">
        <f>E2 * (1 + Assumptions!F4)</f>
        <v/>
      </c>
      <c r="G2">
        <f>F2 * (1 + Assumptions!G4)</f>
        <v/>
      </c>
      <c r="H2">
        <f>G2 * (1 + Assumptions!H4)</f>
        <v/>
      </c>
      <c r="I2">
        <f>H2 * (1 + Assumptions!I4)</f>
        <v/>
      </c>
      <c r="J2">
        <f>I2 * (1 + Assumptions!J4)</f>
        <v/>
      </c>
      <c r="K2">
        <f>J2 * (1 + Assumptions!K4)</f>
        <v/>
      </c>
      <c r="L2">
        <f>K2 * (1 + Assumptions!L4)</f>
        <v/>
      </c>
      <c r="M2">
        <f>L2 * (1 + Assumptions!M4)</f>
        <v/>
      </c>
    </row>
    <row r="3">
      <c r="A3" t="inlineStr">
        <is>
          <t>COGS</t>
        </is>
      </c>
      <c r="B3">
        <f>B2 * Assumptions!B5</f>
        <v/>
      </c>
      <c r="C3">
        <f>C2 * Assumptions!B5</f>
        <v/>
      </c>
      <c r="D3">
        <f>D2 * Assumptions!B5</f>
        <v/>
      </c>
      <c r="E3">
        <f>E2 * Assumptions!B5</f>
        <v/>
      </c>
      <c r="F3">
        <f>F2 * Assumptions!B5</f>
        <v/>
      </c>
      <c r="G3">
        <f>G2 * Assumptions!B5</f>
        <v/>
      </c>
      <c r="H3">
        <f>H2 * Assumptions!B5</f>
        <v/>
      </c>
      <c r="I3">
        <f>I2 * Assumptions!B5</f>
        <v/>
      </c>
      <c r="J3">
        <f>J2 * Assumptions!B5</f>
        <v/>
      </c>
      <c r="K3">
        <f>K2 * Assumptions!B5</f>
        <v/>
      </c>
      <c r="L3">
        <f>L2 * Assumptions!B5</f>
        <v/>
      </c>
      <c r="M3">
        <f>M2 * Assumptions!B5</f>
        <v/>
      </c>
    </row>
    <row r="4">
      <c r="A4" t="inlineStr">
        <is>
          <t>Gross</t>
        </is>
      </c>
      <c r="B4">
        <f>B2 - B3</f>
        <v/>
      </c>
      <c r="C4">
        <f>C2 - C3</f>
        <v/>
      </c>
      <c r="D4">
        <f>D2 - D3</f>
        <v/>
      </c>
      <c r="E4">
        <f>E2 - E3</f>
        <v/>
      </c>
      <c r="F4">
        <f>F2 - F3</f>
        <v/>
      </c>
      <c r="G4">
        <f>G2 - G3</f>
        <v/>
      </c>
      <c r="H4">
        <f>H2 - H3</f>
        <v/>
      </c>
      <c r="I4">
        <f>I2 - I3</f>
        <v/>
      </c>
      <c r="J4">
        <f>J2 - J3</f>
        <v/>
      </c>
      <c r="K4">
        <f>K2 - K3</f>
        <v/>
      </c>
      <c r="L4">
        <f>L2 - L3</f>
        <v/>
      </c>
      <c r="M4">
        <f>M2 - M3</f>
        <v/>
      </c>
    </row>
    <row r="5">
      <c r="A5" t="inlineStr">
        <is>
          <t>Taxes</t>
        </is>
      </c>
      <c r="B5">
        <f>B4 * Assumptions!B6</f>
        <v/>
      </c>
      <c r="C5">
        <f>C4 * Assumptions!B6</f>
        <v/>
      </c>
      <c r="D5">
        <f>D4 * Assumptions!B6</f>
        <v/>
      </c>
      <c r="E5">
        <f>E4 * Assumptions!B6</f>
        <v/>
      </c>
      <c r="F5">
        <f>F4 * Assumptions!B6</f>
        <v/>
      </c>
      <c r="G5">
        <f>G4 * Assumptions!B6</f>
        <v/>
      </c>
      <c r="H5">
        <f>H4 * Assumptions!B6</f>
        <v/>
      </c>
      <c r="I5">
        <f>I4 * Assumptions!B6</f>
        <v/>
      </c>
      <c r="J5">
        <f>J4 * Assumptions!B6</f>
        <v/>
      </c>
      <c r="K5">
        <f>K4 * Assumptions!B6</f>
        <v/>
      </c>
      <c r="L5">
        <f>L4 * Assumptions!B6</f>
        <v/>
      </c>
      <c r="M5">
        <f>M4 * Assumptions!B6</f>
        <v/>
      </c>
    </row>
    <row r="6">
      <c r="A6" t="inlineStr">
        <is>
          <t>Net</t>
        </is>
      </c>
      <c r="B6">
        <f>B4 - B5</f>
        <v/>
      </c>
      <c r="C6">
        <f>C4 - C5</f>
        <v/>
      </c>
      <c r="D6">
        <f>D4 - D5</f>
        <v/>
      </c>
      <c r="E6">
        <f>E4 - E5</f>
        <v/>
      </c>
      <c r="F6">
        <f>F4 - F5</f>
        <v/>
      </c>
      <c r="G6">
        <f>G4 - G5</f>
        <v/>
      </c>
      <c r="H6">
        <f>H4 - H5</f>
        <v/>
      </c>
      <c r="I6">
        <f>I4 - I5</f>
        <v/>
      </c>
      <c r="J6">
        <f>J4 - J5</f>
        <v/>
      </c>
      <c r="K6">
        <f>K4 - K5</f>
        <v/>
      </c>
      <c r="L6">
        <f>L4 - L5</f>
        <v/>
      </c>
      <c r="M6">
        <f>M4 - M5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2026-04-26T21:43:23Z</dcterms:created>
  <dcterms:modified xsi:type="dcterms:W3CDTF">2026-04-26T21:43:23Z</dcterms:modified>
</cp:coreProperties>
</file>